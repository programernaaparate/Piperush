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G\2026\"/>
    </mc:Choice>
  </mc:AlternateContent>
  <xr:revisionPtr revIDLastSave="0" documentId="13_ncr:1_{185B5ED6-5BC7-4D57-B2F7-A89F524DBF56}" xr6:coauthVersionLast="47" xr6:coauthVersionMax="47" xr10:uidLastSave="{00000000-0000-0000-0000-000000000000}"/>
  <bookViews>
    <workbookView xWindow="9150" yWindow="2850" windowWidth="29520" windowHeight="16005" xr2:uid="{AAF20437-B49B-4F0A-BBF5-3790C37F84E2}"/>
  </bookViews>
  <sheets>
    <sheet name="CG B" sheetId="3" r:id="rId1"/>
    <sheet name="CG C" sheetId="5" r:id="rId2"/>
    <sheet name="CG D" sheetId="4" r:id="rId3"/>
    <sheet name="Tem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4" l="1"/>
  <c r="G13" i="4"/>
  <c r="G14" i="4"/>
  <c r="G15" i="4"/>
  <c r="G16" i="4"/>
  <c r="G17" i="4"/>
  <c r="G18" i="4"/>
  <c r="G19" i="4"/>
  <c r="G20" i="4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11" i="4"/>
  <c r="G10" i="4"/>
  <c r="G9" i="4"/>
  <c r="G8" i="4"/>
  <c r="G7" i="4"/>
  <c r="G6" i="4"/>
  <c r="G5" i="4"/>
  <c r="G4" i="4"/>
  <c r="G3" i="4"/>
  <c r="G4" i="3"/>
  <c r="G5" i="3"/>
  <c r="G6" i="3"/>
  <c r="G7" i="3"/>
  <c r="G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F8FF8B-3991-4DAE-9415-3ACEB532518F}" keepAlive="1" name="Query - RND16" description="Connection to the 'RND16' query in the workbook." type="5" refreshedVersion="7" background="1" saveData="1">
    <dbPr connection="Provider=Microsoft.Mashup.OleDb.1;Data Source=$Workbook$;Location=RND16;Extended Properties=&quot;&quot;" command="SELECT * FROM [RND16]"/>
  </connection>
</connections>
</file>

<file path=xl/sharedStrings.xml><?xml version="1.0" encoding="utf-8"?>
<sst xmlns="http://schemas.openxmlformats.org/spreadsheetml/2006/main" count="309" uniqueCount="176">
  <si>
    <t>Student</t>
  </si>
  <si>
    <t>rb</t>
  </si>
  <si>
    <t>Indeks</t>
  </si>
  <si>
    <t>Ime i prezime</t>
  </si>
  <si>
    <t>Tip</t>
  </si>
  <si>
    <t>Smjer</t>
  </si>
  <si>
    <t>RND</t>
  </si>
  <si>
    <t>Tema</t>
  </si>
  <si>
    <t>15 / 2022</t>
  </si>
  <si>
    <t>Red</t>
  </si>
  <si>
    <t>B</t>
  </si>
  <si>
    <t>Sudoku classic</t>
  </si>
  <si>
    <t>Sudoku X</t>
  </si>
  <si>
    <t>Math Sudoku</t>
  </si>
  <si>
    <t>Killer Sudoku</t>
  </si>
  <si>
    <t>Kakuro</t>
  </si>
  <si>
    <t>Osmosmjerka</t>
  </si>
  <si>
    <t>Ukrstene rijeci</t>
  </si>
  <si>
    <t>Pipeline</t>
  </si>
  <si>
    <t>9 Men Morris (cica-mica)</t>
  </si>
  <si>
    <t>Puzzle 15 – fifteen</t>
  </si>
  <si>
    <t>Pacman</t>
  </si>
  <si>
    <t>XoX – 10 x 10, 5 in row wins</t>
  </si>
  <si>
    <t>XoX + rotation</t>
  </si>
  <si>
    <t>Connect four wins, (base 7 x 6)</t>
  </si>
  <si>
    <t>Sherolck</t>
  </si>
  <si>
    <t>Matches (sibice)</t>
  </si>
  <si>
    <t>Memory</t>
  </si>
  <si>
    <t>Nim</t>
  </si>
  <si>
    <t>Three jugs – (8,5,3 – bokal/casa)</t>
  </si>
  <si>
    <t>Mastermind</t>
  </si>
  <si>
    <t>Peg Solitare (red crosss,7x3)</t>
  </si>
  <si>
    <t>Industrial schema presentation</t>
  </si>
  <si>
    <t>Yamb</t>
  </si>
  <si>
    <t>Ne ljuti se čoveče</t>
  </si>
  <si>
    <t>Igra brojki (4x1cif, 1x2cif, 1x3cif)</t>
  </si>
  <si>
    <t>Domine</t>
  </si>
  <si>
    <t>2D – toolkit</t>
  </si>
  <si>
    <t>3D - toolkit</t>
  </si>
  <si>
    <t>Chess problem solver</t>
  </si>
  <si>
    <t>Futoshiki</t>
  </si>
  <si>
    <t>Nanogram</t>
  </si>
  <si>
    <t>Sort Algortihm animation</t>
  </si>
  <si>
    <t>Rubik Cube 2x2x2</t>
  </si>
  <si>
    <t>Tron (Classic)</t>
  </si>
  <si>
    <t>3D Maze</t>
  </si>
  <si>
    <t>Jigsaw</t>
  </si>
  <si>
    <t>Calculator game</t>
  </si>
  <si>
    <t>2048 (Threes)</t>
  </si>
  <si>
    <t>Twenty 48 Solitaire (2048)</t>
  </si>
  <si>
    <t>Space Invaders</t>
  </si>
  <si>
    <t>Number Addict (Tetris + numbers)</t>
  </si>
  <si>
    <t>Logic puzzle – Classic</t>
  </si>
  <si>
    <t>Towers</t>
  </si>
  <si>
    <t>Diamonds</t>
  </si>
  <si>
    <t>Sopstvena ideja</t>
  </si>
  <si>
    <t>16 / 2020</t>
  </si>
  <si>
    <t>Ćalasan Jelena</t>
  </si>
  <si>
    <t>POP4</t>
  </si>
  <si>
    <t>D</t>
  </si>
  <si>
    <t>1 / 2023</t>
  </si>
  <si>
    <t>2 / 2023</t>
  </si>
  <si>
    <t>5 / 2023</t>
  </si>
  <si>
    <t>6 / 2023</t>
  </si>
  <si>
    <t>16 / 2023</t>
  </si>
  <si>
    <t>18 / 2023</t>
  </si>
  <si>
    <t>21 / 2023</t>
  </si>
  <si>
    <t>22 / 2023</t>
  </si>
  <si>
    <t>24 / 2023</t>
  </si>
  <si>
    <t>29 / 2023</t>
  </si>
  <si>
    <t>36 / 2023</t>
  </si>
  <si>
    <t>Radović Goran</t>
  </si>
  <si>
    <t>47 / 2020</t>
  </si>
  <si>
    <t>Pehar Dragan</t>
  </si>
  <si>
    <t>C</t>
  </si>
  <si>
    <t>26 / 2023</t>
  </si>
  <si>
    <t>Đikanović Sanja</t>
  </si>
  <si>
    <t>4 / 2022</t>
  </si>
  <si>
    <t>Stojanović Aleksandra</t>
  </si>
  <si>
    <t>5 / 2022</t>
  </si>
  <si>
    <t>Bošnjak Jovana</t>
  </si>
  <si>
    <t>17 / 2022</t>
  </si>
  <si>
    <t>Čantić Emin</t>
  </si>
  <si>
    <t>24 / 2022</t>
  </si>
  <si>
    <t>Asanovski Ana</t>
  </si>
  <si>
    <t>51 / 2025</t>
  </si>
  <si>
    <t>Vukmarković Tino</t>
  </si>
  <si>
    <t>52 / 2025</t>
  </si>
  <si>
    <t>Šljukić Teodora</t>
  </si>
  <si>
    <t>53 / 2025</t>
  </si>
  <si>
    <t>Polović David</t>
  </si>
  <si>
    <t>54 / 2025</t>
  </si>
  <si>
    <t>Golubović Andrija</t>
  </si>
  <si>
    <t>55 / 2025</t>
  </si>
  <si>
    <t>Đurović Ivana</t>
  </si>
  <si>
    <t>56 / 2025</t>
  </si>
  <si>
    <t>Adžagić Alan</t>
  </si>
  <si>
    <t>57 / 2025</t>
  </si>
  <si>
    <t>Reales Lancharro Marcos</t>
  </si>
  <si>
    <t>58 / 2025</t>
  </si>
  <si>
    <t>Perez Castro Angel</t>
  </si>
  <si>
    <t>2 / 2024</t>
  </si>
  <si>
    <t>Đonaj Mario</t>
  </si>
  <si>
    <t>3 / 2024</t>
  </si>
  <si>
    <t>Joksimović Lana</t>
  </si>
  <si>
    <t>4 / 2024</t>
  </si>
  <si>
    <t>Babaić Seid</t>
  </si>
  <si>
    <t>6 / 2024</t>
  </si>
  <si>
    <t>Berišaj Martina</t>
  </si>
  <si>
    <t>7 / 2024</t>
  </si>
  <si>
    <t>Adrović Haris</t>
  </si>
  <si>
    <t>8 / 2024</t>
  </si>
  <si>
    <t>Srzentić Nikola</t>
  </si>
  <si>
    <t>9 / 2024</t>
  </si>
  <si>
    <t>Bošković Bojana</t>
  </si>
  <si>
    <t>10 / 2024</t>
  </si>
  <si>
    <t>Keković Kristina</t>
  </si>
  <si>
    <t>11 / 2024</t>
  </si>
  <si>
    <t>Jovanović Filip</t>
  </si>
  <si>
    <t>12 / 2024</t>
  </si>
  <si>
    <t>Vukanović Milica</t>
  </si>
  <si>
    <t>13 / 2024</t>
  </si>
  <si>
    <t>Nikčević Ivan</t>
  </si>
  <si>
    <t>15 / 2024</t>
  </si>
  <si>
    <t>Svrkota Filip</t>
  </si>
  <si>
    <t>16 / 2024</t>
  </si>
  <si>
    <t>Lutovac Milena</t>
  </si>
  <si>
    <t>18 / 2024</t>
  </si>
  <si>
    <t>Zejak Teodora</t>
  </si>
  <si>
    <t>19 / 2024</t>
  </si>
  <si>
    <t>Lončar Matija</t>
  </si>
  <si>
    <t>21 / 2024</t>
  </si>
  <si>
    <t>Golubović Viktorija</t>
  </si>
  <si>
    <t>22 / 2024</t>
  </si>
  <si>
    <t>Živković Vera</t>
  </si>
  <si>
    <t>23 / 2024</t>
  </si>
  <si>
    <t>Ćetković Aleksa</t>
  </si>
  <si>
    <t>24 / 2024</t>
  </si>
  <si>
    <t>Popović Ivona</t>
  </si>
  <si>
    <t>25 / 2024</t>
  </si>
  <si>
    <t>Mijatović Jelena</t>
  </si>
  <si>
    <t>26 / 2024</t>
  </si>
  <si>
    <t>Ljuca Hana</t>
  </si>
  <si>
    <t>27 / 2024</t>
  </si>
  <si>
    <t>Đurković Milica</t>
  </si>
  <si>
    <t>29 / 2024</t>
  </si>
  <si>
    <t>Mosurović Ana</t>
  </si>
  <si>
    <t>39 / 2024</t>
  </si>
  <si>
    <t>Pepić Anel</t>
  </si>
  <si>
    <t>40 / 2024</t>
  </si>
  <si>
    <t>Kapor Nikola</t>
  </si>
  <si>
    <t>13 / 2022</t>
  </si>
  <si>
    <t>Dragaš Helena</t>
  </si>
  <si>
    <t>Ljumović Luka</t>
  </si>
  <si>
    <t>Rajković Jovana</t>
  </si>
  <si>
    <t>4 / 2023</t>
  </si>
  <si>
    <t>Milić Petar</t>
  </si>
  <si>
    <t>Terzić Aleksa</t>
  </si>
  <si>
    <t>Lekić Lazar</t>
  </si>
  <si>
    <t>12 / 2023</t>
  </si>
  <si>
    <t>Vujović Nikola</t>
  </si>
  <si>
    <t>Vuković Kristijan</t>
  </si>
  <si>
    <t>Vešović Nikola</t>
  </si>
  <si>
    <t>Mazalica Ognjen</t>
  </si>
  <si>
    <t>Šabović Danilo</t>
  </si>
  <si>
    <t>Vukotić Katarina</t>
  </si>
  <si>
    <t>Bajović Nikolina</t>
  </si>
  <si>
    <t>Dreić Edis</t>
  </si>
  <si>
    <t>6 / 2022</t>
  </si>
  <si>
    <t>Čakar Majda</t>
  </si>
  <si>
    <t>Đečević Zijad</t>
  </si>
  <si>
    <t>29 / 2022</t>
  </si>
  <si>
    <t>Folić Luka</t>
  </si>
  <si>
    <t>12 / 2021</t>
  </si>
  <si>
    <t>Popović Antonije</t>
  </si>
  <si>
    <t>Light Show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</si>
</sst>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AEB8-83FF-41B9-901D-CD54F29CB66C}">
  <dimension ref="A1:G18"/>
  <sheetViews>
    <sheetView tabSelected="1" workbookViewId="0">
      <selection activeCell="H11" sqref="H11"/>
    </sheetView>
  </sheetViews>
  <sheetFormatPr defaultRowHeight="15" x14ac:dyDescent="0.25"/>
  <cols>
    <col min="1" max="1" width="4.28515625" customWidth="1"/>
    <col min="3" max="3" width="24.5703125" customWidth="1"/>
    <col min="7" max="7" width="36.140625" customWidth="1"/>
  </cols>
  <sheetData>
    <row r="1" spans="1:7" ht="16.5" thickBot="1" x14ac:dyDescent="0.3">
      <c r="A1" s="7" t="s">
        <v>0</v>
      </c>
      <c r="B1" s="8"/>
      <c r="C1" s="8"/>
      <c r="D1" s="8"/>
      <c r="E1" s="8"/>
      <c r="F1" s="8"/>
      <c r="G1" s="8"/>
    </row>
    <row r="2" spans="1:7" ht="15.75" thickBot="1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 t="s">
        <v>7</v>
      </c>
    </row>
    <row r="3" spans="1:7" x14ac:dyDescent="0.25">
      <c r="A3">
        <v>1</v>
      </c>
      <c r="B3" t="s">
        <v>75</v>
      </c>
      <c r="C3" t="s">
        <v>76</v>
      </c>
      <c r="D3" t="s">
        <v>9</v>
      </c>
      <c r="E3" s="1" t="s">
        <v>10</v>
      </c>
      <c r="F3">
        <v>10</v>
      </c>
      <c r="G3" t="str">
        <f>VLOOKUP(F3,Teme!$A$2:$B$49,2,FALSE)</f>
        <v>Puzzle 15 – fifteen</v>
      </c>
    </row>
    <row r="4" spans="1:7" x14ac:dyDescent="0.25">
      <c r="A4">
        <v>2</v>
      </c>
      <c r="B4" t="s">
        <v>77</v>
      </c>
      <c r="C4" t="s">
        <v>78</v>
      </c>
      <c r="D4" t="s">
        <v>9</v>
      </c>
      <c r="E4" s="1" t="s">
        <v>10</v>
      </c>
      <c r="F4">
        <v>5</v>
      </c>
      <c r="G4" t="str">
        <f>VLOOKUP(F4,Teme!$A$2:$B$49,2,FALSE)</f>
        <v>Kakuro</v>
      </c>
    </row>
    <row r="5" spans="1:7" x14ac:dyDescent="0.25">
      <c r="A5">
        <v>3</v>
      </c>
      <c r="B5" t="s">
        <v>79</v>
      </c>
      <c r="C5" t="s">
        <v>80</v>
      </c>
      <c r="D5" t="s">
        <v>9</v>
      </c>
      <c r="E5" s="1" t="s">
        <v>10</v>
      </c>
      <c r="F5">
        <v>22</v>
      </c>
      <c r="G5" t="str">
        <f>VLOOKUP(F5,Teme!$A$2:$B$49,2,FALSE)</f>
        <v>Industrial schema presentation</v>
      </c>
    </row>
    <row r="6" spans="1:7" x14ac:dyDescent="0.25">
      <c r="A6">
        <v>4</v>
      </c>
      <c r="B6" t="s">
        <v>81</v>
      </c>
      <c r="C6" t="s">
        <v>82</v>
      </c>
      <c r="D6" t="s">
        <v>9</v>
      </c>
      <c r="E6" s="1" t="s">
        <v>10</v>
      </c>
      <c r="F6">
        <v>25</v>
      </c>
      <c r="G6" t="str">
        <f>VLOOKUP(F6,Teme!$A$2:$B$49,2,FALSE)</f>
        <v>Igra brojki (4x1cif, 1x2cif, 1x3cif)</v>
      </c>
    </row>
    <row r="7" spans="1:7" x14ac:dyDescent="0.25">
      <c r="A7">
        <v>5</v>
      </c>
      <c r="B7" t="s">
        <v>83</v>
      </c>
      <c r="C7" t="s">
        <v>84</v>
      </c>
      <c r="D7" t="s">
        <v>9</v>
      </c>
      <c r="E7" s="1" t="s">
        <v>10</v>
      </c>
      <c r="F7">
        <v>31</v>
      </c>
      <c r="G7" t="str">
        <f>VLOOKUP(F7,Teme!$A$2:$B$49,2,FALSE)</f>
        <v>Nanogram</v>
      </c>
    </row>
    <row r="8" spans="1:7" x14ac:dyDescent="0.25">
      <c r="E8" s="1"/>
    </row>
    <row r="9" spans="1:7" x14ac:dyDescent="0.25">
      <c r="E9" s="1"/>
    </row>
    <row r="10" spans="1:7" x14ac:dyDescent="0.25">
      <c r="E10" s="1"/>
    </row>
    <row r="11" spans="1:7" x14ac:dyDescent="0.25">
      <c r="E11" s="1"/>
    </row>
    <row r="12" spans="1:7" x14ac:dyDescent="0.25">
      <c r="E12" s="1"/>
    </row>
    <row r="13" spans="1:7" x14ac:dyDescent="0.25">
      <c r="E13" s="1"/>
    </row>
    <row r="14" spans="1:7" x14ac:dyDescent="0.25">
      <c r="E14" s="1"/>
      <c r="G14" s="2"/>
    </row>
    <row r="15" spans="1:7" x14ac:dyDescent="0.25">
      <c r="E15" s="1"/>
    </row>
    <row r="16" spans="1:7" x14ac:dyDescent="0.25">
      <c r="E16" s="1"/>
    </row>
    <row r="17" spans="5:5" x14ac:dyDescent="0.25">
      <c r="E17" s="1"/>
    </row>
    <row r="18" spans="5:5" x14ac:dyDescent="0.25">
      <c r="E18" s="1"/>
    </row>
  </sheetData>
  <mergeCells count="1">
    <mergeCell ref="A1:G1"/>
  </mergeCells>
  <dataValidations count="1">
    <dataValidation type="list" allowBlank="1" showInputMessage="1" showErrorMessage="1" sqref="D3:D18" xr:uid="{12681A91-19D4-4C84-8265-545108991F6F}">
      <formula1>"Red, Usl"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4A5A2-4292-410E-8588-CB960CD2565F}">
  <dimension ref="A1:G42"/>
  <sheetViews>
    <sheetView topLeftCell="A5" workbookViewId="0">
      <selection activeCell="K24" sqref="K24"/>
    </sheetView>
  </sheetViews>
  <sheetFormatPr defaultRowHeight="15" x14ac:dyDescent="0.25"/>
  <cols>
    <col min="1" max="1" width="4.28515625" customWidth="1"/>
    <col min="3" max="3" width="24.5703125" customWidth="1"/>
    <col min="7" max="7" width="36.140625" customWidth="1"/>
  </cols>
  <sheetData>
    <row r="1" spans="1:7" ht="16.5" thickBot="1" x14ac:dyDescent="0.3">
      <c r="A1" s="7" t="s">
        <v>0</v>
      </c>
      <c r="B1" s="8"/>
      <c r="C1" s="8"/>
      <c r="D1" s="8"/>
      <c r="E1" s="8"/>
      <c r="F1" s="8"/>
      <c r="G1" s="8"/>
    </row>
    <row r="2" spans="1:7" ht="15.75" thickBot="1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 t="s">
        <v>7</v>
      </c>
    </row>
    <row r="3" spans="1:7" x14ac:dyDescent="0.25">
      <c r="A3">
        <v>1</v>
      </c>
      <c r="B3" t="s">
        <v>85</v>
      </c>
      <c r="C3" t="s">
        <v>86</v>
      </c>
      <c r="D3" s="1" t="s">
        <v>9</v>
      </c>
      <c r="E3" s="1" t="s">
        <v>74</v>
      </c>
      <c r="F3">
        <v>15</v>
      </c>
      <c r="G3" s="2" t="str">
        <f>VLOOKUP(F3,Teme!$A$2:$B$49,2,FALSE)</f>
        <v>Sherolck</v>
      </c>
    </row>
    <row r="4" spans="1:7" x14ac:dyDescent="0.25">
      <c r="A4">
        <v>2</v>
      </c>
      <c r="B4" t="s">
        <v>87</v>
      </c>
      <c r="C4" t="s">
        <v>88</v>
      </c>
      <c r="D4" s="1" t="s">
        <v>9</v>
      </c>
      <c r="E4" s="1" t="s">
        <v>74</v>
      </c>
      <c r="F4">
        <v>20</v>
      </c>
      <c r="G4" s="2" t="str">
        <f>VLOOKUP(F4,Teme!$A$2:$B$49,2,FALSE)</f>
        <v>Mastermind</v>
      </c>
    </row>
    <row r="5" spans="1:7" x14ac:dyDescent="0.25">
      <c r="A5">
        <v>3</v>
      </c>
      <c r="B5" t="s">
        <v>89</v>
      </c>
      <c r="C5" t="s">
        <v>90</v>
      </c>
      <c r="D5" s="1" t="s">
        <v>9</v>
      </c>
      <c r="E5" s="1" t="s">
        <v>74</v>
      </c>
      <c r="F5">
        <v>17</v>
      </c>
      <c r="G5" s="2" t="str">
        <f>VLOOKUP(F5,Teme!$A$2:$B$49,2,FALSE)</f>
        <v>Memory</v>
      </c>
    </row>
    <row r="6" spans="1:7" x14ac:dyDescent="0.25">
      <c r="A6">
        <v>4</v>
      </c>
      <c r="B6" t="s">
        <v>91</v>
      </c>
      <c r="C6" t="s">
        <v>92</v>
      </c>
      <c r="D6" s="1" t="s">
        <v>9</v>
      </c>
      <c r="E6" s="1" t="s">
        <v>74</v>
      </c>
      <c r="F6">
        <v>25</v>
      </c>
      <c r="G6" s="2" t="str">
        <f>VLOOKUP(F6,Teme!$A$2:$B$49,2,FALSE)</f>
        <v>Igra brojki (4x1cif, 1x2cif, 1x3cif)</v>
      </c>
    </row>
    <row r="7" spans="1:7" x14ac:dyDescent="0.25">
      <c r="A7">
        <v>5</v>
      </c>
      <c r="B7" t="s">
        <v>93</v>
      </c>
      <c r="C7" t="s">
        <v>94</v>
      </c>
      <c r="D7" s="1" t="s">
        <v>9</v>
      </c>
      <c r="E7" s="1" t="s">
        <v>74</v>
      </c>
      <c r="F7">
        <v>9</v>
      </c>
      <c r="G7" s="2" t="str">
        <f>VLOOKUP(F7,Teme!$A$2:$B$49,2,FALSE)</f>
        <v>9 Men Morris (cica-mica)</v>
      </c>
    </row>
    <row r="8" spans="1:7" x14ac:dyDescent="0.25">
      <c r="A8">
        <v>6</v>
      </c>
      <c r="B8" t="s">
        <v>95</v>
      </c>
      <c r="C8" t="s">
        <v>96</v>
      </c>
      <c r="D8" s="1" t="s">
        <v>9</v>
      </c>
      <c r="E8" s="1" t="s">
        <v>74</v>
      </c>
      <c r="F8">
        <v>16</v>
      </c>
      <c r="G8" s="2" t="str">
        <f>VLOOKUP(F8,Teme!$A$2:$B$49,2,FALSE)</f>
        <v>Matches (sibice)</v>
      </c>
    </row>
    <row r="9" spans="1:7" x14ac:dyDescent="0.25">
      <c r="A9">
        <v>7</v>
      </c>
      <c r="B9" t="s">
        <v>97</v>
      </c>
      <c r="C9" t="s">
        <v>98</v>
      </c>
      <c r="D9" s="1" t="s">
        <v>9</v>
      </c>
      <c r="E9" s="1" t="s">
        <v>74</v>
      </c>
      <c r="F9">
        <v>6</v>
      </c>
      <c r="G9" s="2" t="str">
        <f>VLOOKUP(F9,Teme!$A$2:$B$49,2,FALSE)</f>
        <v>Osmosmjerka</v>
      </c>
    </row>
    <row r="10" spans="1:7" x14ac:dyDescent="0.25">
      <c r="A10">
        <v>8</v>
      </c>
      <c r="B10" t="s">
        <v>99</v>
      </c>
      <c r="C10" t="s">
        <v>100</v>
      </c>
      <c r="D10" s="1" t="s">
        <v>9</v>
      </c>
      <c r="E10" s="1" t="s">
        <v>74</v>
      </c>
      <c r="F10">
        <v>46</v>
      </c>
      <c r="G10" s="2" t="str">
        <f>VLOOKUP(F10,Teme!$A$2:$B$49,2,FALSE)</f>
        <v>Towers</v>
      </c>
    </row>
    <row r="11" spans="1:7" x14ac:dyDescent="0.25">
      <c r="A11">
        <v>9</v>
      </c>
      <c r="B11" t="s">
        <v>101</v>
      </c>
      <c r="C11" t="s">
        <v>102</v>
      </c>
      <c r="D11" s="1" t="s">
        <v>9</v>
      </c>
      <c r="E11" s="1" t="s">
        <v>74</v>
      </c>
      <c r="F11">
        <v>31</v>
      </c>
      <c r="G11" s="2" t="str">
        <f>VLOOKUP(F11,Teme!$A$2:$B$49,2,FALSE)</f>
        <v>Nanogram</v>
      </c>
    </row>
    <row r="12" spans="1:7" x14ac:dyDescent="0.25">
      <c r="A12">
        <v>10</v>
      </c>
      <c r="B12" t="s">
        <v>103</v>
      </c>
      <c r="C12" t="s">
        <v>104</v>
      </c>
      <c r="D12" s="1" t="s">
        <v>9</v>
      </c>
      <c r="E12" s="1" t="s">
        <v>74</v>
      </c>
      <c r="F12">
        <v>8</v>
      </c>
      <c r="G12" s="2" t="str">
        <f>VLOOKUP(F12,Teme!$A$2:$B$49,2,FALSE)</f>
        <v>Pipeline</v>
      </c>
    </row>
    <row r="13" spans="1:7" x14ac:dyDescent="0.25">
      <c r="A13">
        <v>11</v>
      </c>
      <c r="B13" t="s">
        <v>105</v>
      </c>
      <c r="C13" t="s">
        <v>106</v>
      </c>
      <c r="D13" s="1" t="s">
        <v>9</v>
      </c>
      <c r="E13" s="1" t="s">
        <v>74</v>
      </c>
      <c r="F13">
        <v>23</v>
      </c>
      <c r="G13" s="2" t="str">
        <f>VLOOKUP(F13,Teme!$A$2:$B$49,2,FALSE)</f>
        <v>Yamb</v>
      </c>
    </row>
    <row r="14" spans="1:7" x14ac:dyDescent="0.25">
      <c r="A14">
        <v>12</v>
      </c>
      <c r="B14" t="s">
        <v>107</v>
      </c>
      <c r="C14" t="s">
        <v>108</v>
      </c>
      <c r="D14" s="1" t="s">
        <v>9</v>
      </c>
      <c r="E14" s="1" t="s">
        <v>74</v>
      </c>
      <c r="F14">
        <v>36</v>
      </c>
      <c r="G14" s="2" t="str">
        <f>VLOOKUP(F14,Teme!$A$2:$B$49,2,FALSE)</f>
        <v>Jigsaw</v>
      </c>
    </row>
    <row r="15" spans="1:7" x14ac:dyDescent="0.25">
      <c r="A15">
        <v>13</v>
      </c>
      <c r="B15" t="s">
        <v>109</v>
      </c>
      <c r="C15" t="s">
        <v>110</v>
      </c>
      <c r="D15" s="1" t="s">
        <v>9</v>
      </c>
      <c r="E15" s="1" t="s">
        <v>74</v>
      </c>
      <c r="F15">
        <v>29</v>
      </c>
      <c r="G15" s="2" t="str">
        <f>VLOOKUP(F15,Teme!$A$2:$B$49,2,FALSE)</f>
        <v>Chess problem solver</v>
      </c>
    </row>
    <row r="16" spans="1:7" x14ac:dyDescent="0.25">
      <c r="A16">
        <v>14</v>
      </c>
      <c r="B16" t="s">
        <v>111</v>
      </c>
      <c r="C16" t="s">
        <v>112</v>
      </c>
      <c r="D16" s="1" t="s">
        <v>9</v>
      </c>
      <c r="E16" s="1" t="s">
        <v>74</v>
      </c>
      <c r="F16">
        <v>27</v>
      </c>
      <c r="G16" s="2" t="str">
        <f>VLOOKUP(F16,Teme!$A$2:$B$49,2,FALSE)</f>
        <v>2D – toolkit</v>
      </c>
    </row>
    <row r="17" spans="1:7" x14ac:dyDescent="0.25">
      <c r="A17">
        <v>15</v>
      </c>
      <c r="B17" t="s">
        <v>113</v>
      </c>
      <c r="C17" t="s">
        <v>114</v>
      </c>
      <c r="D17" s="1" t="s">
        <v>9</v>
      </c>
      <c r="E17" s="1" t="s">
        <v>74</v>
      </c>
      <c r="F17">
        <v>12</v>
      </c>
      <c r="G17" s="2" t="str">
        <f>VLOOKUP(F17,Teme!$A$2:$B$49,2,FALSE)</f>
        <v>XoX – 10 x 10, 5 in row wins</v>
      </c>
    </row>
    <row r="18" spans="1:7" x14ac:dyDescent="0.25">
      <c r="A18">
        <v>16</v>
      </c>
      <c r="B18" t="s">
        <v>115</v>
      </c>
      <c r="C18" t="s">
        <v>116</v>
      </c>
      <c r="D18" s="1" t="s">
        <v>9</v>
      </c>
      <c r="E18" s="1" t="s">
        <v>74</v>
      </c>
      <c r="F18">
        <v>45</v>
      </c>
      <c r="G18" s="2" t="str">
        <f>VLOOKUP(F18,Teme!$A$2:$B$49,2,FALSE)</f>
        <v>Logic puzzle – Classic</v>
      </c>
    </row>
    <row r="19" spans="1:7" x14ac:dyDescent="0.25">
      <c r="A19">
        <v>17</v>
      </c>
      <c r="B19" t="s">
        <v>117</v>
      </c>
      <c r="C19" t="s">
        <v>118</v>
      </c>
      <c r="D19" s="1" t="s">
        <v>9</v>
      </c>
      <c r="E19" s="1" t="s">
        <v>74</v>
      </c>
      <c r="F19">
        <v>38</v>
      </c>
      <c r="G19" s="2">
        <f>VLOOKUP(F19,Teme!$A$2:$B$49,2,FALSE)</f>
        <v>2048</v>
      </c>
    </row>
    <row r="20" spans="1:7" x14ac:dyDescent="0.25">
      <c r="A20">
        <v>18</v>
      </c>
      <c r="B20" t="s">
        <v>119</v>
      </c>
      <c r="C20" t="s">
        <v>120</v>
      </c>
      <c r="D20" s="1" t="s">
        <v>9</v>
      </c>
      <c r="E20" s="1" t="s">
        <v>74</v>
      </c>
      <c r="F20">
        <v>11</v>
      </c>
      <c r="G20" s="2" t="str">
        <f>VLOOKUP(F20,Teme!$A$2:$B$49,2,FALSE)</f>
        <v>Pacman</v>
      </c>
    </row>
    <row r="21" spans="1:7" x14ac:dyDescent="0.25">
      <c r="A21">
        <v>19</v>
      </c>
      <c r="B21" t="s">
        <v>121</v>
      </c>
      <c r="C21" t="s">
        <v>122</v>
      </c>
      <c r="D21" s="1" t="s">
        <v>9</v>
      </c>
      <c r="E21" s="1" t="s">
        <v>74</v>
      </c>
      <c r="F21">
        <v>24</v>
      </c>
      <c r="G21" s="2" t="str">
        <f>VLOOKUP(F21,Teme!$A$2:$B$49,2,FALSE)</f>
        <v>Ne ljuti se čoveče</v>
      </c>
    </row>
    <row r="22" spans="1:7" x14ac:dyDescent="0.25">
      <c r="A22">
        <v>20</v>
      </c>
      <c r="B22" t="s">
        <v>123</v>
      </c>
      <c r="C22" t="s">
        <v>124</v>
      </c>
      <c r="D22" s="1" t="s">
        <v>9</v>
      </c>
      <c r="E22" s="1" t="s">
        <v>74</v>
      </c>
      <c r="F22">
        <v>2</v>
      </c>
      <c r="G22" s="2" t="str">
        <f>VLOOKUP(F22,Teme!$A$2:$B$49,2,FALSE)</f>
        <v>Sudoku X</v>
      </c>
    </row>
    <row r="23" spans="1:7" x14ac:dyDescent="0.25">
      <c r="A23">
        <v>21</v>
      </c>
      <c r="B23" t="s">
        <v>125</v>
      </c>
      <c r="C23" t="s">
        <v>126</v>
      </c>
      <c r="D23" s="1" t="s">
        <v>9</v>
      </c>
      <c r="E23" s="1" t="s">
        <v>74</v>
      </c>
      <c r="F23">
        <v>42</v>
      </c>
      <c r="G23" s="2" t="str">
        <f>VLOOKUP(F23,Teme!$A$2:$B$49,2,FALSE)</f>
        <v>POP4</v>
      </c>
    </row>
    <row r="24" spans="1:7" x14ac:dyDescent="0.25">
      <c r="A24">
        <v>22</v>
      </c>
      <c r="B24" t="s">
        <v>127</v>
      </c>
      <c r="C24" t="s">
        <v>128</v>
      </c>
      <c r="D24" s="1" t="s">
        <v>9</v>
      </c>
      <c r="E24" s="1" t="s">
        <v>74</v>
      </c>
      <c r="F24">
        <v>7</v>
      </c>
      <c r="G24" s="2" t="str">
        <f>VLOOKUP(F24,Teme!$A$2:$B$49,2,FALSE)</f>
        <v>Ukrstene rijeci</v>
      </c>
    </row>
    <row r="25" spans="1:7" x14ac:dyDescent="0.25">
      <c r="A25">
        <v>23</v>
      </c>
      <c r="B25" t="s">
        <v>129</v>
      </c>
      <c r="C25" t="s">
        <v>130</v>
      </c>
      <c r="D25" s="1" t="s">
        <v>9</v>
      </c>
      <c r="E25" s="1" t="s">
        <v>74</v>
      </c>
      <c r="F25">
        <v>5</v>
      </c>
      <c r="G25" s="2" t="str">
        <f>VLOOKUP(F25,Teme!$A$2:$B$49,2,FALSE)</f>
        <v>Kakuro</v>
      </c>
    </row>
    <row r="26" spans="1:7" x14ac:dyDescent="0.25">
      <c r="A26">
        <v>24</v>
      </c>
      <c r="B26" t="s">
        <v>131</v>
      </c>
      <c r="C26" t="s">
        <v>132</v>
      </c>
      <c r="D26" s="1" t="s">
        <v>9</v>
      </c>
      <c r="E26" s="1" t="s">
        <v>74</v>
      </c>
      <c r="F26">
        <v>32</v>
      </c>
      <c r="G26" s="2" t="str">
        <f>VLOOKUP(F26,Teme!$A$2:$B$49,2,FALSE)</f>
        <v>Sort Algortihm animation</v>
      </c>
    </row>
    <row r="27" spans="1:7" x14ac:dyDescent="0.25">
      <c r="A27">
        <v>25</v>
      </c>
      <c r="B27" t="s">
        <v>133</v>
      </c>
      <c r="C27" t="s">
        <v>134</v>
      </c>
      <c r="D27" s="1" t="s">
        <v>9</v>
      </c>
      <c r="E27" s="1" t="s">
        <v>74</v>
      </c>
      <c r="F27">
        <v>39</v>
      </c>
      <c r="G27" s="2" t="str">
        <f>VLOOKUP(F27,Teme!$A$2:$B$49,2,FALSE)</f>
        <v>2048 (Threes)</v>
      </c>
    </row>
    <row r="28" spans="1:7" x14ac:dyDescent="0.25">
      <c r="A28">
        <v>26</v>
      </c>
      <c r="B28" t="s">
        <v>135</v>
      </c>
      <c r="C28" t="s">
        <v>136</v>
      </c>
      <c r="D28" s="1" t="s">
        <v>9</v>
      </c>
      <c r="E28" s="1" t="s">
        <v>74</v>
      </c>
      <c r="F28">
        <v>35</v>
      </c>
      <c r="G28" s="2" t="str">
        <f>VLOOKUP(F28,Teme!$A$2:$B$49,2,FALSE)</f>
        <v>3D Maze</v>
      </c>
    </row>
    <row r="29" spans="1:7" x14ac:dyDescent="0.25">
      <c r="A29">
        <v>27</v>
      </c>
      <c r="B29" t="s">
        <v>137</v>
      </c>
      <c r="C29" t="s">
        <v>138</v>
      </c>
      <c r="D29" s="1" t="s">
        <v>9</v>
      </c>
      <c r="E29" s="1" t="s">
        <v>74</v>
      </c>
      <c r="F29">
        <v>19</v>
      </c>
      <c r="G29" s="2" t="str">
        <f>VLOOKUP(F29,Teme!$A$2:$B$49,2,FALSE)</f>
        <v>Three jugs – (8,5,3 – bokal/casa)</v>
      </c>
    </row>
    <row r="30" spans="1:7" x14ac:dyDescent="0.25">
      <c r="A30">
        <v>28</v>
      </c>
      <c r="B30" t="s">
        <v>139</v>
      </c>
      <c r="C30" t="s">
        <v>140</v>
      </c>
      <c r="D30" s="1" t="s">
        <v>9</v>
      </c>
      <c r="E30" s="1" t="s">
        <v>74</v>
      </c>
      <c r="F30">
        <v>30</v>
      </c>
      <c r="G30" s="2" t="str">
        <f>VLOOKUP(F30,Teme!$A$2:$B$49,2,FALSE)</f>
        <v>Futoshiki</v>
      </c>
    </row>
    <row r="31" spans="1:7" x14ac:dyDescent="0.25">
      <c r="A31">
        <v>29</v>
      </c>
      <c r="B31" t="s">
        <v>141</v>
      </c>
      <c r="C31" t="s">
        <v>142</v>
      </c>
      <c r="D31" s="1" t="s">
        <v>9</v>
      </c>
      <c r="E31" s="1" t="s">
        <v>74</v>
      </c>
      <c r="F31">
        <v>43</v>
      </c>
      <c r="G31" s="2" t="str">
        <f>VLOOKUP(F31,Teme!$A$2:$B$49,2,FALSE)</f>
        <v>Number Addict (Tetris + numbers)</v>
      </c>
    </row>
    <row r="32" spans="1:7" x14ac:dyDescent="0.25">
      <c r="A32">
        <v>30</v>
      </c>
      <c r="B32" t="s">
        <v>143</v>
      </c>
      <c r="C32" t="s">
        <v>144</v>
      </c>
      <c r="D32" s="1" t="s">
        <v>9</v>
      </c>
      <c r="E32" s="1" t="s">
        <v>74</v>
      </c>
      <c r="F32">
        <v>37</v>
      </c>
      <c r="G32" s="2" t="str">
        <f>VLOOKUP(F32,Teme!$A$2:$B$49,2,FALSE)</f>
        <v>Calculator game</v>
      </c>
    </row>
    <row r="33" spans="1:7" x14ac:dyDescent="0.25">
      <c r="A33">
        <v>31</v>
      </c>
      <c r="B33" t="s">
        <v>145</v>
      </c>
      <c r="C33" t="s">
        <v>146</v>
      </c>
      <c r="D33" s="1" t="s">
        <v>9</v>
      </c>
      <c r="E33" s="1" t="s">
        <v>74</v>
      </c>
      <c r="F33">
        <v>26</v>
      </c>
      <c r="G33" s="2" t="str">
        <f>VLOOKUP(F33,Teme!$A$2:$B$49,2,FALSE)</f>
        <v>Domine</v>
      </c>
    </row>
    <row r="34" spans="1:7" x14ac:dyDescent="0.25">
      <c r="A34">
        <v>32</v>
      </c>
      <c r="B34" t="s">
        <v>147</v>
      </c>
      <c r="C34" t="s">
        <v>148</v>
      </c>
      <c r="D34" s="1" t="s">
        <v>9</v>
      </c>
      <c r="E34" s="1" t="s">
        <v>74</v>
      </c>
      <c r="F34">
        <v>44</v>
      </c>
      <c r="G34" s="2" t="str">
        <f>VLOOKUP(F34,Teme!$A$2:$B$49,2,FALSE)</f>
        <v>Light Show</v>
      </c>
    </row>
    <row r="35" spans="1:7" x14ac:dyDescent="0.25">
      <c r="A35">
        <v>33</v>
      </c>
      <c r="B35" t="s">
        <v>149</v>
      </c>
      <c r="C35" t="s">
        <v>150</v>
      </c>
      <c r="D35" s="1" t="s">
        <v>9</v>
      </c>
      <c r="E35" s="1" t="s">
        <v>74</v>
      </c>
      <c r="F35">
        <v>4</v>
      </c>
      <c r="G35" s="2" t="str">
        <f>VLOOKUP(F35,Teme!$A$2:$B$49,2,FALSE)</f>
        <v>Killer Sudoku</v>
      </c>
    </row>
    <row r="36" spans="1:7" x14ac:dyDescent="0.25">
      <c r="A36">
        <v>34</v>
      </c>
      <c r="B36" t="s">
        <v>70</v>
      </c>
      <c r="C36" t="s">
        <v>71</v>
      </c>
      <c r="D36" s="1" t="s">
        <v>9</v>
      </c>
      <c r="E36" s="1" t="s">
        <v>74</v>
      </c>
      <c r="F36">
        <v>33</v>
      </c>
      <c r="G36" s="2" t="str">
        <f>VLOOKUP(F36,Teme!$A$2:$B$49,2,FALSE)</f>
        <v>Rubik Cube 2x2x2</v>
      </c>
    </row>
    <row r="37" spans="1:7" x14ac:dyDescent="0.25">
      <c r="A37">
        <v>35</v>
      </c>
      <c r="B37" t="s">
        <v>151</v>
      </c>
      <c r="C37" t="s">
        <v>152</v>
      </c>
      <c r="D37" s="1" t="s">
        <v>9</v>
      </c>
      <c r="E37" s="1" t="s">
        <v>74</v>
      </c>
      <c r="F37">
        <v>3</v>
      </c>
      <c r="G37" s="2" t="str">
        <f>VLOOKUP(F37,Teme!$A$2:$B$49,2,FALSE)</f>
        <v>Math Sudoku</v>
      </c>
    </row>
    <row r="38" spans="1:7" x14ac:dyDescent="0.25">
      <c r="A38">
        <v>36</v>
      </c>
      <c r="B38" t="s">
        <v>72</v>
      </c>
      <c r="C38" t="s">
        <v>73</v>
      </c>
      <c r="D38" s="1" t="s">
        <v>9</v>
      </c>
      <c r="E38" s="1" t="s">
        <v>74</v>
      </c>
      <c r="F38">
        <v>28</v>
      </c>
      <c r="G38" s="2" t="str">
        <f>VLOOKUP(F38,Teme!$A$2:$B$49,2,FALSE)</f>
        <v>3D - toolkit</v>
      </c>
    </row>
    <row r="39" spans="1:7" x14ac:dyDescent="0.25">
      <c r="D39" s="1"/>
      <c r="E39" s="1"/>
      <c r="G39" s="2"/>
    </row>
    <row r="40" spans="1:7" x14ac:dyDescent="0.25">
      <c r="D40" s="1"/>
      <c r="E40" s="1"/>
      <c r="G40" s="2"/>
    </row>
    <row r="41" spans="1:7" x14ac:dyDescent="0.25">
      <c r="D41" s="1"/>
      <c r="E41" s="1"/>
      <c r="G41" s="2"/>
    </row>
    <row r="42" spans="1:7" x14ac:dyDescent="0.25">
      <c r="D42" s="1"/>
      <c r="E42" s="1"/>
      <c r="G42" s="2"/>
    </row>
  </sheetData>
  <mergeCells count="1">
    <mergeCell ref="A1:G1"/>
  </mergeCells>
  <dataValidations count="1">
    <dataValidation type="list" allowBlank="1" showInputMessage="1" showErrorMessage="1" sqref="D3:D42" xr:uid="{C6BF49D6-A568-44E8-B219-90AB46A8D2FD}">
      <formula1>"Red, Usl"</formula1>
    </dataValidation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DD440-2A1C-4C68-B00A-F9AB5A6B902B}">
  <dimension ref="A1:G20"/>
  <sheetViews>
    <sheetView workbookViewId="0">
      <selection activeCell="K16" sqref="K16"/>
    </sheetView>
  </sheetViews>
  <sheetFormatPr defaultRowHeight="15" x14ac:dyDescent="0.25"/>
  <cols>
    <col min="1" max="1" width="4.28515625" customWidth="1"/>
    <col min="3" max="3" width="24.5703125" customWidth="1"/>
    <col min="7" max="7" width="36.140625" customWidth="1"/>
  </cols>
  <sheetData>
    <row r="1" spans="1:7" ht="16.5" thickBot="1" x14ac:dyDescent="0.3">
      <c r="A1" s="7" t="s">
        <v>0</v>
      </c>
      <c r="B1" s="8"/>
      <c r="C1" s="8"/>
      <c r="D1" s="8"/>
      <c r="E1" s="8"/>
      <c r="F1" s="8"/>
      <c r="G1" s="8"/>
    </row>
    <row r="2" spans="1:7" ht="15.75" thickBot="1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 t="s">
        <v>7</v>
      </c>
    </row>
    <row r="3" spans="1:7" x14ac:dyDescent="0.25">
      <c r="A3">
        <v>1</v>
      </c>
      <c r="B3" t="s">
        <v>60</v>
      </c>
      <c r="C3" t="s">
        <v>153</v>
      </c>
      <c r="D3" t="s">
        <v>9</v>
      </c>
      <c r="E3" s="1" t="s">
        <v>59</v>
      </c>
      <c r="F3">
        <v>37</v>
      </c>
      <c r="G3" t="str">
        <f>VLOOKUP(F3,Teme!$A$2:$B$49,2,FALSE)</f>
        <v>Calculator game</v>
      </c>
    </row>
    <row r="4" spans="1:7" x14ac:dyDescent="0.25">
      <c r="A4">
        <v>2</v>
      </c>
      <c r="B4" t="s">
        <v>61</v>
      </c>
      <c r="C4" t="s">
        <v>154</v>
      </c>
      <c r="D4" t="s">
        <v>9</v>
      </c>
      <c r="E4" s="1" t="s">
        <v>59</v>
      </c>
      <c r="F4">
        <v>17</v>
      </c>
      <c r="G4" t="str">
        <f>VLOOKUP(F4,Teme!$A$2:$B$49,2,FALSE)</f>
        <v>Memory</v>
      </c>
    </row>
    <row r="5" spans="1:7" x14ac:dyDescent="0.25">
      <c r="A5">
        <v>3</v>
      </c>
      <c r="B5" t="s">
        <v>155</v>
      </c>
      <c r="C5" t="s">
        <v>156</v>
      </c>
      <c r="D5" t="s">
        <v>9</v>
      </c>
      <c r="E5" s="1" t="s">
        <v>59</v>
      </c>
      <c r="F5">
        <v>44</v>
      </c>
      <c r="G5" t="str">
        <f>VLOOKUP(F5,Teme!$A$2:$B$49,2,FALSE)</f>
        <v>Light Show</v>
      </c>
    </row>
    <row r="6" spans="1:7" x14ac:dyDescent="0.25">
      <c r="A6">
        <v>4</v>
      </c>
      <c r="B6" t="s">
        <v>62</v>
      </c>
      <c r="C6" t="s">
        <v>157</v>
      </c>
      <c r="D6" t="s">
        <v>9</v>
      </c>
      <c r="E6" s="1" t="s">
        <v>59</v>
      </c>
      <c r="F6">
        <v>11</v>
      </c>
      <c r="G6" t="str">
        <f>VLOOKUP(F6,Teme!$A$2:$B$49,2,FALSE)</f>
        <v>Pacman</v>
      </c>
    </row>
    <row r="7" spans="1:7" x14ac:dyDescent="0.25">
      <c r="A7">
        <v>5</v>
      </c>
      <c r="B7" t="s">
        <v>63</v>
      </c>
      <c r="C7" t="s">
        <v>158</v>
      </c>
      <c r="D7" t="s">
        <v>9</v>
      </c>
      <c r="E7" s="1" t="s">
        <v>59</v>
      </c>
      <c r="F7">
        <v>7</v>
      </c>
      <c r="G7" t="str">
        <f>VLOOKUP(F7,Teme!$A$2:$B$49,2,FALSE)</f>
        <v>Ukrstene rijeci</v>
      </c>
    </row>
    <row r="8" spans="1:7" x14ac:dyDescent="0.25">
      <c r="A8">
        <v>6</v>
      </c>
      <c r="B8" t="s">
        <v>159</v>
      </c>
      <c r="C8" t="s">
        <v>160</v>
      </c>
      <c r="D8" t="s">
        <v>9</v>
      </c>
      <c r="E8" s="1" t="s">
        <v>59</v>
      </c>
      <c r="F8">
        <v>31</v>
      </c>
      <c r="G8" t="str">
        <f>VLOOKUP(F8,Teme!$A$2:$B$49,2,FALSE)</f>
        <v>Nanogram</v>
      </c>
    </row>
    <row r="9" spans="1:7" x14ac:dyDescent="0.25">
      <c r="A9">
        <v>7</v>
      </c>
      <c r="B9" t="s">
        <v>64</v>
      </c>
      <c r="C9" t="s">
        <v>161</v>
      </c>
      <c r="D9" t="s">
        <v>9</v>
      </c>
      <c r="E9" s="1" t="s">
        <v>59</v>
      </c>
      <c r="F9">
        <v>1</v>
      </c>
      <c r="G9" t="str">
        <f>VLOOKUP(F9,Teme!$A$2:$B$49,2,FALSE)</f>
        <v>Sudoku classic</v>
      </c>
    </row>
    <row r="10" spans="1:7" x14ac:dyDescent="0.25">
      <c r="A10">
        <v>8</v>
      </c>
      <c r="B10" t="s">
        <v>65</v>
      </c>
      <c r="C10" t="s">
        <v>162</v>
      </c>
      <c r="D10" t="s">
        <v>9</v>
      </c>
      <c r="E10" s="1" t="s">
        <v>59</v>
      </c>
      <c r="F10">
        <v>22</v>
      </c>
      <c r="G10" t="str">
        <f>VLOOKUP(F10,Teme!$A$2:$B$49,2,FALSE)</f>
        <v>Industrial schema presentation</v>
      </c>
    </row>
    <row r="11" spans="1:7" x14ac:dyDescent="0.25">
      <c r="A11">
        <v>9</v>
      </c>
      <c r="B11" t="s">
        <v>66</v>
      </c>
      <c r="C11" t="s">
        <v>163</v>
      </c>
      <c r="D11" t="s">
        <v>9</v>
      </c>
      <c r="E11" s="1" t="s">
        <v>59</v>
      </c>
      <c r="F11">
        <v>35</v>
      </c>
      <c r="G11" t="str">
        <f>VLOOKUP(F11,Teme!$A$2:$B$49,2,FALSE)</f>
        <v>3D Maze</v>
      </c>
    </row>
    <row r="12" spans="1:7" x14ac:dyDescent="0.25">
      <c r="A12">
        <v>10</v>
      </c>
      <c r="B12" t="s">
        <v>67</v>
      </c>
      <c r="C12" t="s">
        <v>164</v>
      </c>
      <c r="D12" t="s">
        <v>9</v>
      </c>
      <c r="E12" s="1" t="s">
        <v>59</v>
      </c>
      <c r="F12">
        <v>8</v>
      </c>
      <c r="G12" t="str">
        <f>VLOOKUP(F12,Teme!$A$2:$B$49,2,FALSE)</f>
        <v>Pipeline</v>
      </c>
    </row>
    <row r="13" spans="1:7" x14ac:dyDescent="0.25">
      <c r="A13">
        <v>11</v>
      </c>
      <c r="B13" t="s">
        <v>68</v>
      </c>
      <c r="C13" t="s">
        <v>165</v>
      </c>
      <c r="D13" t="s">
        <v>9</v>
      </c>
      <c r="E13" s="1" t="s">
        <v>59</v>
      </c>
      <c r="F13">
        <v>9</v>
      </c>
      <c r="G13" t="str">
        <f>VLOOKUP(F13,Teme!$A$2:$B$49,2,FALSE)</f>
        <v>9 Men Morris (cica-mica)</v>
      </c>
    </row>
    <row r="14" spans="1:7" x14ac:dyDescent="0.25">
      <c r="A14">
        <v>12</v>
      </c>
      <c r="B14" t="s">
        <v>75</v>
      </c>
      <c r="C14" t="s">
        <v>166</v>
      </c>
      <c r="D14" t="s">
        <v>9</v>
      </c>
      <c r="E14" s="1" t="s">
        <v>59</v>
      </c>
      <c r="F14">
        <v>41</v>
      </c>
      <c r="G14" t="str">
        <f>VLOOKUP(F14,Teme!$A$2:$B$49,2,FALSE)</f>
        <v>Space Invaders</v>
      </c>
    </row>
    <row r="15" spans="1:7" x14ac:dyDescent="0.25">
      <c r="A15">
        <v>13</v>
      </c>
      <c r="B15" t="s">
        <v>69</v>
      </c>
      <c r="C15" t="s">
        <v>167</v>
      </c>
      <c r="D15" t="s">
        <v>9</v>
      </c>
      <c r="E15" s="1" t="s">
        <v>59</v>
      </c>
      <c r="F15">
        <v>23</v>
      </c>
      <c r="G15" t="str">
        <f>VLOOKUP(F15,Teme!$A$2:$B$49,2,FALSE)</f>
        <v>Yamb</v>
      </c>
    </row>
    <row r="16" spans="1:7" x14ac:dyDescent="0.25">
      <c r="A16">
        <v>14</v>
      </c>
      <c r="B16" t="s">
        <v>168</v>
      </c>
      <c r="C16" t="s">
        <v>169</v>
      </c>
      <c r="D16" t="s">
        <v>9</v>
      </c>
      <c r="E16" s="1" t="s">
        <v>59</v>
      </c>
      <c r="F16">
        <v>24</v>
      </c>
      <c r="G16" t="str">
        <f>VLOOKUP(F16,Teme!$A$2:$B$49,2,FALSE)</f>
        <v>Ne ljuti se čoveče</v>
      </c>
    </row>
    <row r="17" spans="1:7" x14ac:dyDescent="0.25">
      <c r="A17">
        <v>15</v>
      </c>
      <c r="B17" t="s">
        <v>8</v>
      </c>
      <c r="C17" t="s">
        <v>170</v>
      </c>
      <c r="D17" t="s">
        <v>9</v>
      </c>
      <c r="E17" s="1" t="s">
        <v>59</v>
      </c>
      <c r="F17">
        <v>21</v>
      </c>
      <c r="G17" t="str">
        <f>VLOOKUP(F17,Teme!$A$2:$B$49,2,FALSE)</f>
        <v>Peg Solitare (red crosss,7x3)</v>
      </c>
    </row>
    <row r="18" spans="1:7" x14ac:dyDescent="0.25">
      <c r="A18">
        <v>16</v>
      </c>
      <c r="B18" t="s">
        <v>171</v>
      </c>
      <c r="C18" t="s">
        <v>172</v>
      </c>
      <c r="D18" t="s">
        <v>9</v>
      </c>
      <c r="E18" s="1" t="s">
        <v>59</v>
      </c>
      <c r="F18">
        <v>16</v>
      </c>
      <c r="G18" t="str">
        <f>VLOOKUP(F18,Teme!$A$2:$B$49,2,FALSE)</f>
        <v>Matches (sibice)</v>
      </c>
    </row>
    <row r="19" spans="1:7" x14ac:dyDescent="0.25">
      <c r="A19">
        <v>17</v>
      </c>
      <c r="B19" t="s">
        <v>173</v>
      </c>
      <c r="C19" t="s">
        <v>174</v>
      </c>
      <c r="D19" t="s">
        <v>9</v>
      </c>
      <c r="E19" s="1" t="s">
        <v>59</v>
      </c>
      <c r="F19">
        <v>34</v>
      </c>
      <c r="G19" t="str">
        <f>VLOOKUP(F19,Teme!$A$2:$B$49,2,FALSE)</f>
        <v>Tron (Classic)</v>
      </c>
    </row>
    <row r="20" spans="1:7" x14ac:dyDescent="0.25">
      <c r="A20">
        <v>18</v>
      </c>
      <c r="B20" t="s">
        <v>56</v>
      </c>
      <c r="C20" t="s">
        <v>57</v>
      </c>
      <c r="D20" t="s">
        <v>9</v>
      </c>
      <c r="E20" s="1" t="s">
        <v>59</v>
      </c>
      <c r="F20">
        <v>47</v>
      </c>
      <c r="G20" t="str">
        <f>VLOOKUP(F20,Teme!$A$2:$B$49,2,FALSE)</f>
        <v>Diamonds</v>
      </c>
    </row>
  </sheetData>
  <mergeCells count="1">
    <mergeCell ref="A1:G1"/>
  </mergeCells>
  <dataValidations count="1">
    <dataValidation type="list" allowBlank="1" showInputMessage="1" showErrorMessage="1" sqref="D3:D20" xr:uid="{CCA123A0-53FF-4FF4-8CCB-D4DBA52C449C}">
      <formula1>"Red, Usl"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44DC8-A005-488C-B0DA-BDC5034834D3}">
  <dimension ref="A1:B49"/>
  <sheetViews>
    <sheetView topLeftCell="A25" workbookViewId="0">
      <selection activeCell="B46" sqref="B46"/>
    </sheetView>
  </sheetViews>
  <sheetFormatPr defaultRowHeight="15" x14ac:dyDescent="0.25"/>
  <cols>
    <col min="1" max="1" width="5.85546875" customWidth="1"/>
    <col min="2" max="2" width="38" customWidth="1"/>
  </cols>
  <sheetData>
    <row r="1" spans="1:2" x14ac:dyDescent="0.25">
      <c r="A1" t="s">
        <v>1</v>
      </c>
      <c r="B1" t="s">
        <v>7</v>
      </c>
    </row>
    <row r="2" spans="1:2" x14ac:dyDescent="0.25">
      <c r="A2">
        <v>1</v>
      </c>
      <c r="B2" t="s">
        <v>11</v>
      </c>
    </row>
    <row r="3" spans="1:2" x14ac:dyDescent="0.25">
      <c r="A3">
        <v>2</v>
      </c>
      <c r="B3" t="s">
        <v>12</v>
      </c>
    </row>
    <row r="4" spans="1:2" x14ac:dyDescent="0.25">
      <c r="A4">
        <v>3</v>
      </c>
      <c r="B4" t="s">
        <v>13</v>
      </c>
    </row>
    <row r="5" spans="1:2" x14ac:dyDescent="0.25">
      <c r="A5">
        <v>4</v>
      </c>
      <c r="B5" t="s">
        <v>14</v>
      </c>
    </row>
    <row r="6" spans="1:2" x14ac:dyDescent="0.25">
      <c r="A6">
        <v>5</v>
      </c>
      <c r="B6" t="s">
        <v>15</v>
      </c>
    </row>
    <row r="7" spans="1:2" x14ac:dyDescent="0.25">
      <c r="A7">
        <v>6</v>
      </c>
      <c r="B7" t="s">
        <v>16</v>
      </c>
    </row>
    <row r="8" spans="1:2" x14ac:dyDescent="0.25">
      <c r="A8">
        <v>7</v>
      </c>
      <c r="B8" t="s">
        <v>17</v>
      </c>
    </row>
    <row r="9" spans="1:2" x14ac:dyDescent="0.25">
      <c r="A9">
        <v>8</v>
      </c>
      <c r="B9" t="s">
        <v>18</v>
      </c>
    </row>
    <row r="10" spans="1:2" x14ac:dyDescent="0.25">
      <c r="A10">
        <v>9</v>
      </c>
      <c r="B10" t="s">
        <v>19</v>
      </c>
    </row>
    <row r="11" spans="1:2" x14ac:dyDescent="0.25">
      <c r="A11">
        <v>10</v>
      </c>
      <c r="B11" t="s">
        <v>20</v>
      </c>
    </row>
    <row r="12" spans="1:2" x14ac:dyDescent="0.25">
      <c r="A12">
        <v>11</v>
      </c>
      <c r="B12" t="s">
        <v>21</v>
      </c>
    </row>
    <row r="13" spans="1:2" x14ac:dyDescent="0.25">
      <c r="A13">
        <v>12</v>
      </c>
      <c r="B13" t="s">
        <v>22</v>
      </c>
    </row>
    <row r="14" spans="1:2" x14ac:dyDescent="0.25">
      <c r="A14">
        <v>13</v>
      </c>
      <c r="B14" t="s">
        <v>23</v>
      </c>
    </row>
    <row r="15" spans="1:2" x14ac:dyDescent="0.25">
      <c r="A15">
        <v>14</v>
      </c>
      <c r="B15" t="s">
        <v>24</v>
      </c>
    </row>
    <row r="16" spans="1:2" x14ac:dyDescent="0.25">
      <c r="A16">
        <v>15</v>
      </c>
      <c r="B16" t="s">
        <v>25</v>
      </c>
    </row>
    <row r="17" spans="1:2" x14ac:dyDescent="0.25">
      <c r="A17">
        <v>16</v>
      </c>
      <c r="B17" t="s">
        <v>26</v>
      </c>
    </row>
    <row r="18" spans="1:2" x14ac:dyDescent="0.25">
      <c r="A18">
        <v>17</v>
      </c>
      <c r="B18" t="s">
        <v>27</v>
      </c>
    </row>
    <row r="19" spans="1:2" x14ac:dyDescent="0.25">
      <c r="A19">
        <v>18</v>
      </c>
      <c r="B19" t="s">
        <v>28</v>
      </c>
    </row>
    <row r="20" spans="1:2" x14ac:dyDescent="0.25">
      <c r="A20">
        <v>19</v>
      </c>
      <c r="B20" t="s">
        <v>29</v>
      </c>
    </row>
    <row r="21" spans="1:2" x14ac:dyDescent="0.25">
      <c r="A21">
        <v>20</v>
      </c>
      <c r="B21" t="s">
        <v>30</v>
      </c>
    </row>
    <row r="22" spans="1:2" x14ac:dyDescent="0.25">
      <c r="A22">
        <v>21</v>
      </c>
      <c r="B22" t="s">
        <v>31</v>
      </c>
    </row>
    <row r="23" spans="1:2" x14ac:dyDescent="0.25">
      <c r="A23">
        <v>22</v>
      </c>
      <c r="B23" t="s">
        <v>32</v>
      </c>
    </row>
    <row r="24" spans="1:2" x14ac:dyDescent="0.25">
      <c r="A24">
        <v>23</v>
      </c>
      <c r="B24" t="s">
        <v>33</v>
      </c>
    </row>
    <row r="25" spans="1:2" x14ac:dyDescent="0.25">
      <c r="A25">
        <v>24</v>
      </c>
      <c r="B25" t="s">
        <v>34</v>
      </c>
    </row>
    <row r="26" spans="1:2" x14ac:dyDescent="0.25">
      <c r="A26">
        <v>25</v>
      </c>
      <c r="B26" t="s">
        <v>35</v>
      </c>
    </row>
    <row r="27" spans="1:2" x14ac:dyDescent="0.25">
      <c r="A27">
        <v>26</v>
      </c>
      <c r="B27" t="s">
        <v>36</v>
      </c>
    </row>
    <row r="28" spans="1:2" x14ac:dyDescent="0.25">
      <c r="A28">
        <v>27</v>
      </c>
      <c r="B28" t="s">
        <v>37</v>
      </c>
    </row>
    <row r="29" spans="1:2" x14ac:dyDescent="0.25">
      <c r="A29">
        <v>28</v>
      </c>
      <c r="B29" t="s">
        <v>38</v>
      </c>
    </row>
    <row r="30" spans="1:2" x14ac:dyDescent="0.25">
      <c r="A30">
        <v>29</v>
      </c>
      <c r="B30" t="s">
        <v>39</v>
      </c>
    </row>
    <row r="31" spans="1:2" x14ac:dyDescent="0.25">
      <c r="A31">
        <v>30</v>
      </c>
      <c r="B31" t="s">
        <v>40</v>
      </c>
    </row>
    <row r="32" spans="1:2" x14ac:dyDescent="0.25">
      <c r="A32">
        <v>31</v>
      </c>
      <c r="B32" t="s">
        <v>41</v>
      </c>
    </row>
    <row r="33" spans="1:2" x14ac:dyDescent="0.25">
      <c r="A33">
        <v>32</v>
      </c>
      <c r="B33" t="s">
        <v>42</v>
      </c>
    </row>
    <row r="34" spans="1:2" x14ac:dyDescent="0.25">
      <c r="A34">
        <v>33</v>
      </c>
      <c r="B34" t="s">
        <v>43</v>
      </c>
    </row>
    <row r="35" spans="1:2" x14ac:dyDescent="0.25">
      <c r="A35">
        <v>34</v>
      </c>
      <c r="B35" t="s">
        <v>44</v>
      </c>
    </row>
    <row r="36" spans="1:2" x14ac:dyDescent="0.25">
      <c r="A36">
        <v>35</v>
      </c>
      <c r="B36" t="s">
        <v>45</v>
      </c>
    </row>
    <row r="37" spans="1:2" x14ac:dyDescent="0.25">
      <c r="A37">
        <v>36</v>
      </c>
      <c r="B37" t="s">
        <v>46</v>
      </c>
    </row>
    <row r="38" spans="1:2" x14ac:dyDescent="0.25">
      <c r="A38">
        <v>37</v>
      </c>
      <c r="B38" t="s">
        <v>47</v>
      </c>
    </row>
    <row r="39" spans="1:2" x14ac:dyDescent="0.25">
      <c r="A39">
        <v>38</v>
      </c>
      <c r="B39" s="2">
        <v>2048</v>
      </c>
    </row>
    <row r="40" spans="1:2" x14ac:dyDescent="0.25">
      <c r="A40">
        <v>39</v>
      </c>
      <c r="B40" t="s">
        <v>48</v>
      </c>
    </row>
    <row r="41" spans="1:2" x14ac:dyDescent="0.25">
      <c r="A41">
        <v>40</v>
      </c>
      <c r="B41" t="s">
        <v>49</v>
      </c>
    </row>
    <row r="42" spans="1:2" x14ac:dyDescent="0.25">
      <c r="A42">
        <v>41</v>
      </c>
      <c r="B42" t="s">
        <v>50</v>
      </c>
    </row>
    <row r="43" spans="1:2" x14ac:dyDescent="0.25">
      <c r="A43">
        <v>42</v>
      </c>
      <c r="B43" t="s">
        <v>58</v>
      </c>
    </row>
    <row r="44" spans="1:2" x14ac:dyDescent="0.25">
      <c r="A44">
        <v>43</v>
      </c>
      <c r="B44" t="s">
        <v>51</v>
      </c>
    </row>
    <row r="45" spans="1:2" x14ac:dyDescent="0.25">
      <c r="A45">
        <v>44</v>
      </c>
      <c r="B45" t="s">
        <v>175</v>
      </c>
    </row>
    <row r="46" spans="1:2" x14ac:dyDescent="0.25">
      <c r="A46">
        <v>45</v>
      </c>
      <c r="B46" t="s">
        <v>52</v>
      </c>
    </row>
    <row r="47" spans="1:2" x14ac:dyDescent="0.25">
      <c r="A47">
        <v>46</v>
      </c>
      <c r="B47" t="s">
        <v>53</v>
      </c>
    </row>
    <row r="48" spans="1:2" x14ac:dyDescent="0.25">
      <c r="A48">
        <v>47</v>
      </c>
      <c r="B48" t="s">
        <v>54</v>
      </c>
    </row>
    <row r="49" spans="1:2" x14ac:dyDescent="0.25">
      <c r="A49">
        <v>48</v>
      </c>
      <c r="B49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3372EE-1F52-495B-BCEA-79D7644D85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CG B</vt:lpstr>
      <vt:lpstr>CG C</vt:lpstr>
      <vt:lpstr>CG D</vt:lpstr>
      <vt:lpstr>Teme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Srdjan</dc:creator>
  <cp:lastModifiedBy>Srdjan</cp:lastModifiedBy>
  <dcterms:created xsi:type="dcterms:W3CDTF">2025-03-03T04:31:41Z</dcterms:created>
  <dcterms:modified xsi:type="dcterms:W3CDTF">2026-03-16T04:15:33Z</dcterms:modified>
</cp:coreProperties>
</file>